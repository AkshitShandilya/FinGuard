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rnav\Downloads\"/>
    </mc:Choice>
  </mc:AlternateContent>
  <xr:revisionPtr revIDLastSave="0" documentId="8_{A9191389-A108-45EC-A4A8-DC44DD4BB3FC}" xr6:coauthVersionLast="47" xr6:coauthVersionMax="47" xr10:uidLastSave="{00000000-0000-0000-0000-000000000000}"/>
  <bookViews>
    <workbookView xWindow="-108" yWindow="-108" windowWidth="23256" windowHeight="12456" tabRatio="500" xr2:uid="{00000000-000D-0000-FFFF-FFFF00000000}"/>
  </bookViews>
  <sheets>
    <sheet name="ProjectSchedule" sheetId="1" r:id="rId1"/>
    <sheet name="About" sheetId="2" r:id="rId2"/>
  </sheets>
  <definedNames>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2" l="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I5" i="1"/>
  <c r="J5" i="1" s="1"/>
  <c r="J1" i="1"/>
  <c r="K5" i="1" l="1"/>
  <c r="J6" i="1"/>
  <c r="I6" i="1"/>
  <c r="I4" i="1"/>
  <c r="L5" i="1" l="1"/>
  <c r="K6" i="1"/>
  <c r="L6" i="1" l="1"/>
  <c r="M5" i="1"/>
  <c r="M6" i="1" l="1"/>
  <c r="N5" i="1"/>
  <c r="N6" i="1" l="1"/>
  <c r="O5" i="1"/>
  <c r="O6" i="1" l="1"/>
  <c r="P5" i="1"/>
  <c r="P4" i="1" l="1"/>
  <c r="P6" i="1"/>
  <c r="Q5" i="1"/>
  <c r="Q6" i="1" l="1"/>
  <c r="R5" i="1"/>
  <c r="R6" i="1" l="1"/>
  <c r="S5" i="1"/>
  <c r="S6" i="1" l="1"/>
  <c r="T5" i="1"/>
  <c r="T6" i="1" l="1"/>
  <c r="U5" i="1"/>
  <c r="U6" i="1" l="1"/>
  <c r="V5" i="1"/>
  <c r="V6" i="1" l="1"/>
  <c r="W5" i="1"/>
  <c r="W6" i="1" l="1"/>
  <c r="W4" i="1"/>
  <c r="X5" i="1"/>
  <c r="X6" i="1" l="1"/>
  <c r="Y5" i="1"/>
  <c r="Y6" i="1" l="1"/>
  <c r="Z5" i="1"/>
  <c r="Z6" i="1" l="1"/>
  <c r="AA5" i="1"/>
  <c r="AA6" i="1" l="1"/>
  <c r="AB5" i="1"/>
  <c r="AB6" i="1" l="1"/>
  <c r="AC5" i="1"/>
  <c r="AD5" i="1" l="1"/>
  <c r="AC6" i="1"/>
  <c r="AE5" i="1" l="1"/>
  <c r="AD6" i="1"/>
  <c r="AD4" i="1"/>
  <c r="AF5" i="1" l="1"/>
  <c r="AE6" i="1"/>
  <c r="AG5" i="1" l="1"/>
  <c r="AF6" i="1"/>
  <c r="AH5" i="1" l="1"/>
  <c r="AG6" i="1"/>
  <c r="AI5" i="1" l="1"/>
  <c r="AH6" i="1"/>
  <c r="AJ5" i="1" l="1"/>
  <c r="AI6" i="1"/>
  <c r="AJ6" i="1" l="1"/>
  <c r="AK5" i="1"/>
  <c r="AK4" i="1" l="1"/>
  <c r="AL5" i="1"/>
  <c r="AK6" i="1"/>
  <c r="AL6" i="1" l="1"/>
  <c r="AM5" i="1"/>
  <c r="AM6" i="1" l="1"/>
  <c r="AN5" i="1"/>
  <c r="AO5" i="1" l="1"/>
  <c r="AN6" i="1"/>
  <c r="AO6" i="1" l="1"/>
  <c r="AP5" i="1"/>
  <c r="AP6" i="1" l="1"/>
  <c r="AQ5" i="1"/>
  <c r="AQ6" i="1" l="1"/>
  <c r="AR5" i="1"/>
  <c r="AR4" i="1" l="1"/>
  <c r="AS5" i="1"/>
  <c r="AR6" i="1"/>
  <c r="AS6" i="1" l="1"/>
  <c r="AT5" i="1"/>
  <c r="AT6" i="1" l="1"/>
  <c r="AU5" i="1"/>
  <c r="AU6" i="1" l="1"/>
  <c r="AV5" i="1"/>
  <c r="AV6" i="1" l="1"/>
  <c r="AW5" i="1"/>
  <c r="AW6" i="1" l="1"/>
  <c r="AX5" i="1"/>
  <c r="AX6" i="1" l="1"/>
  <c r="AY5" i="1"/>
  <c r="AY4" i="1" l="1"/>
  <c r="AZ5" i="1"/>
  <c r="AY6" i="1"/>
  <c r="AZ6" i="1" l="1"/>
  <c r="BA5" i="1"/>
  <c r="BB5" i="1" l="1"/>
  <c r="BA6" i="1"/>
  <c r="BC5" i="1" l="1"/>
  <c r="BB6" i="1"/>
  <c r="BD5" i="1" l="1"/>
  <c r="BC6" i="1"/>
  <c r="BE5" i="1" l="1"/>
  <c r="BD6" i="1"/>
  <c r="BF5" i="1" l="1"/>
  <c r="BE6" i="1"/>
  <c r="BF4" i="1" l="1"/>
  <c r="BG5" i="1"/>
  <c r="BF6" i="1"/>
  <c r="BH5" i="1" l="1"/>
  <c r="BG6" i="1"/>
  <c r="BH6" i="1" l="1"/>
  <c r="BI5" i="1"/>
  <c r="BJ5" i="1" l="1"/>
  <c r="BI6" i="1"/>
  <c r="BJ6" i="1" l="1"/>
  <c r="BK5" i="1"/>
  <c r="BK6" i="1" l="1"/>
  <c r="BL5" i="1"/>
  <c r="BL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6" authorId="0" shapeId="0" xr:uid="{00000000-0006-0000-0000-000001000000}">
      <text>
        <r>
          <rPr>
            <sz val="10"/>
            <rFont val="Arial"/>
            <family val="2"/>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<sst xmlns="http://schemas.openxmlformats.org/spreadsheetml/2006/main" count="53" uniqueCount="43">
  <si>
    <t>FinGuard AI</t>
  </si>
  <si>
    <t>FinGuard AI — Real-Time Financial Fraud Detection System</t>
  </si>
  <si>
    <t>Project Start:</t>
  </si>
  <si>
    <t>Arnav Kathuria &amp; Akshit Shandilya</t>
  </si>
  <si>
    <t>Today:</t>
  </si>
  <si>
    <t>Display Week:</t>
  </si>
  <si>
    <t>TASK</t>
  </si>
  <si>
    <t>ASSIGNED
TO</t>
  </si>
  <si>
    <t>PROGRESS</t>
  </si>
  <si>
    <t>START</t>
  </si>
  <si>
    <t>END</t>
  </si>
  <si>
    <t>DAYS</t>
  </si>
  <si>
    <t>Phase 1: Foundation &amp; Scaffolding (Weeks 1-4)</t>
  </si>
  <si>
    <t>Project proposal and research proposal</t>
  </si>
  <si>
    <t>Arnav Kathuria</t>
  </si>
  <si>
    <t>Use case diagram and flow diagram</t>
  </si>
  <si>
    <t>Akshit Shandilya</t>
  </si>
  <si>
    <t>Activity diagram, prototyping, and Gantt chart creation</t>
  </si>
  <si>
    <t>Project initialization</t>
  </si>
  <si>
    <t>Phase 2: Rule Engine &amp; Fraud Model (Weeks 5-6)</t>
  </si>
  <si>
    <t>Rule engine + baseline XGBoost fraud model; risk aggregation and 0-100 scoring</t>
  </si>
  <si>
    <t>Phase 3: Anomaly Detection &amp; Dashboard (Weeks 7-9)</t>
  </si>
  <si>
    <t>Isolation Forest anomaly detector; analyst dashboard; parallel detection integration</t>
  </si>
  <si>
    <t>Phase 4: Explainability &amp; Feedback Loop (Weeks 10-11)</t>
  </si>
  <si>
    <t>SHAP explainability layer; decision feedback database and retraining loop</t>
  </si>
  <si>
    <t>Phase 5: Evaluation &amp; Wrap-up (Weeks 12-13)</t>
  </si>
  <si>
    <t>KPI instrumentation &amp; evaluation (fraud recall, false-positive rate, mean time to detect, analyst productivity, fraud loss avoided)</t>
  </si>
  <si>
    <t>Buffer week: fixes, final testing, report and demo preparation</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</si>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</sst>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d&quot;, &quot;m/d/yyyy"/>
    <numFmt numFmtId="165" formatCode="mmm\ d&quot;, &quot;yyyy"/>
    <numFmt numFmtId="166" formatCode="d"/>
    <numFmt numFmtId="167" formatCode="m/d/yy;@"/>
    <numFmt numFmtId="168" formatCode="m/d/yyyy"/>
  </numFmts>
  <fonts count="28" x14ac:knownFonts="1">
    <font>
      <sz val="11"/>
      <color theme="1"/>
      <name val="Calibri"/>
      <family val="2"/>
      <charset val="1"/>
    </font>
    <font>
      <b/>
      <sz val="22"/>
      <color theme="1" tint="0.3498947111423078"/>
      <name val="Calibri"/>
      <family val="2"/>
      <charset val="1"/>
    </font>
    <font>
      <b/>
      <sz val="20"/>
      <color theme="4" tint="-0.249977111117893"/>
      <name val="Calibri"/>
      <family val="2"/>
      <charset val="1"/>
    </font>
    <font>
      <sz val="10"/>
      <name val="Calibri"/>
      <family val="2"/>
      <charset val="1"/>
    </font>
    <font>
      <sz val="10"/>
      <color theme="0" tint="-0.499984740745262"/>
      <name val="Calibri"/>
      <family val="2"/>
      <charset val="1"/>
    </font>
    <font>
      <u/>
      <sz val="9"/>
      <color theme="4" tint="-0.249977111117893"/>
      <name val="Arial"/>
      <family val="2"/>
      <charset val="1"/>
    </font>
    <font>
      <sz val="14"/>
      <color theme="1"/>
      <name val="Calibri"/>
      <family val="2"/>
      <charset val="1"/>
    </font>
    <font>
      <sz val="9"/>
      <name val="Calibri"/>
      <family val="2"/>
      <charset val="1"/>
    </font>
    <font>
      <sz val="16"/>
      <color theme="1"/>
      <name val="Calibri"/>
      <family val="2"/>
      <charset val="1"/>
    </font>
    <font>
      <b/>
      <sz val="9"/>
      <color theme="0"/>
      <name val="Calibri"/>
      <family val="2"/>
      <charset val="1"/>
    </font>
    <font>
      <sz val="8"/>
      <color theme="0"/>
      <name val="Calibri"/>
      <family val="2"/>
      <charset val="1"/>
    </font>
    <font>
      <sz val="11"/>
      <name val="Calibri"/>
      <family val="2"/>
      <charset val="1"/>
    </font>
    <font>
      <b/>
      <sz val="11"/>
      <color theme="1"/>
      <name val="Calibri"/>
      <family val="2"/>
      <charset val="1"/>
    </font>
    <font>
      <i/>
      <sz val="9"/>
      <color theme="1"/>
      <name val="Calibri"/>
      <family val="2"/>
      <charset val="1"/>
    </font>
    <font>
      <sz val="10"/>
      <color theme="1" tint="0.49989318521683401"/>
      <name val="Calibri"/>
      <family val="2"/>
      <charset val="1"/>
    </font>
    <font>
      <b/>
      <sz val="11"/>
      <color theme="1" tint="0.49989318521683401"/>
      <name val="Calibri"/>
      <family val="2"/>
      <charset val="1"/>
    </font>
    <font>
      <sz val="11"/>
      <color theme="0"/>
      <name val="Calibri"/>
      <family val="2"/>
      <charset val="1"/>
    </font>
    <font>
      <sz val="9"/>
      <color theme="1" tint="0.49989318521683401"/>
      <name val="Arial"/>
      <family val="2"/>
      <charset val="1"/>
    </font>
    <font>
      <sz val="10"/>
      <color theme="1" tint="0.49989318521683401"/>
      <name val="Arial"/>
      <family val="2"/>
      <charset val="1"/>
    </font>
    <font>
      <sz val="10"/>
      <name val="Arial"/>
      <family val="2"/>
    </font>
    <font>
      <b/>
      <sz val="10"/>
      <name val="Calibri"/>
      <family val="2"/>
      <charset val="1"/>
    </font>
    <font>
      <b/>
      <sz val="12"/>
      <color theme="1" tint="0.3498947111423078"/>
      <name val="Calibri"/>
      <family val="2"/>
      <charset val="1"/>
    </font>
    <font>
      <sz val="11"/>
      <color theme="1" tint="0.49989318521683401"/>
      <name val="Calibri"/>
      <family val="2"/>
      <charset val="1"/>
    </font>
    <font>
      <sz val="10"/>
      <color theme="1" tint="0.3498947111423078"/>
      <name val="Calibri"/>
      <family val="2"/>
      <charset val="1"/>
    </font>
    <font>
      <sz val="20"/>
      <name val="Calibri"/>
      <family val="2"/>
      <charset val="1"/>
    </font>
    <font>
      <b/>
      <sz val="16"/>
      <color theme="4" tint="-0.249977111117893"/>
      <name val="Calibri"/>
      <family val="2"/>
      <charset val="1"/>
    </font>
    <font>
      <sz val="11"/>
      <color rgb="FF1D2129"/>
      <name val="Calibri"/>
      <family val="2"/>
      <charset val="1"/>
    </font>
    <font>
      <u/>
      <sz val="11"/>
      <color rgb="FF0000FF"/>
      <name val="Arial"/>
      <family val="2"/>
      <charset val="1"/>
    </font>
  </fonts>
  <fills count="15">
    <fill>
      <patternFill patternType="none"/>
    </fill>
    <fill>
      <patternFill patternType="gray125"/>
    </fill>
    <fill>
      <patternFill patternType="solid">
        <fgColor theme="0" tint="-0.14999847407452621"/>
        <bgColor rgb="FFE6E0EC"/>
      </patternFill>
    </fill>
    <fill>
      <patternFill patternType="solid">
        <fgColor theme="1" tint="0.3498947111423078"/>
        <bgColor rgb="FF376092"/>
      </patternFill>
    </fill>
    <fill>
      <patternFill patternType="solid">
        <fgColor theme="4" tint="0.59987182226020086"/>
        <bgColor rgb="FFB7DEE8"/>
      </patternFill>
    </fill>
    <fill>
      <patternFill patternType="solid">
        <fgColor theme="4" tint="0.79989013336588644"/>
        <bgColor rgb="FFDBEEF4"/>
      </patternFill>
    </fill>
    <fill>
      <patternFill patternType="solid">
        <fgColor theme="5" tint="0.59987182226020086"/>
        <bgColor rgb="FFCCC1DA"/>
      </patternFill>
    </fill>
    <fill>
      <patternFill patternType="solid">
        <fgColor theme="5" tint="0.79989013336588644"/>
        <bgColor rgb="FFE6E0EC"/>
      </patternFill>
    </fill>
    <fill>
      <patternFill patternType="solid">
        <fgColor theme="6" tint="0.59987182226020086"/>
        <bgColor rgb="FFD9D9D9"/>
      </patternFill>
    </fill>
    <fill>
      <patternFill patternType="solid">
        <fgColor theme="6" tint="0.79989013336588644"/>
        <bgColor rgb="FFF2F2F2"/>
      </patternFill>
    </fill>
    <fill>
      <patternFill patternType="solid">
        <fgColor theme="7" tint="0.59987182226020086"/>
        <bgColor rgb="FFB9CDE5"/>
      </patternFill>
    </fill>
    <fill>
      <patternFill patternType="solid">
        <fgColor theme="7" tint="0.79989013336588644"/>
        <bgColor rgb="FFDCE6F2"/>
      </patternFill>
    </fill>
    <fill>
      <patternFill patternType="solid">
        <fgColor theme="8" tint="0.59987182226020086"/>
        <bgColor rgb="FFB9CDE5"/>
      </patternFill>
    </fill>
    <fill>
      <patternFill patternType="solid">
        <fgColor theme="8" tint="0.79989013336588644"/>
        <bgColor rgb="FFDCE6F2"/>
      </patternFill>
    </fill>
    <fill>
      <patternFill patternType="solid">
        <fgColor theme="0" tint="-4.9989318521683403E-2"/>
        <bgColor rgb="FFEBF1DE"/>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right/>
      <top style="thin">
        <color theme="0" tint="-0.34998626667073579"/>
      </top>
      <bottom/>
      <diagonal/>
    </border>
    <border>
      <left style="thin">
        <color theme="0" tint="-0.34998626667073579"/>
      </left>
      <right style="thin">
        <color theme="0" tint="-0.34998626667073579"/>
      </right>
      <top/>
      <bottom style="medium">
        <color theme="0" tint="-0.14999847407452621"/>
      </bottom>
      <diagonal/>
    </border>
    <border>
      <left/>
      <right/>
      <top style="medium">
        <color theme="0" tint="-0.14999847407452621"/>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s>
  <cellStyleXfs count="1">
    <xf numFmtId="0" fontId="0" fillId="0" borderId="0"/>
  </cellStyleXfs>
  <cellXfs count="102">
    <xf numFmtId="0" fontId="0" fillId="0" borderId="0" xfId="0"/>
    <xf numFmtId="165" fontId="0" fillId="2" borderId="2" xfId="0" applyNumberFormat="1" applyFill="1" applyBorder="1" applyAlignment="1">
      <alignment horizontal="left" vertical="center" wrapText="1" indent="1"/>
    </xf>
    <xf numFmtId="164" fontId="0" fillId="0" borderId="1" xfId="0" applyNumberFormat="1" applyBorder="1" applyAlignment="1">
      <alignment horizontal="center" vertical="center"/>
    </xf>
    <xf numFmtId="0" fontId="5" fillId="0" borderId="0" xfId="0" applyFont="1" applyAlignment="1">
      <alignment horizontal="left" vertical="center"/>
    </xf>
    <xf numFmtId="0" fontId="0" fillId="0" borderId="0" xfId="0"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4" fillId="0" borderId="0" xfId="0" applyFont="1" applyAlignment="1">
      <alignment vertical="center"/>
    </xf>
    <xf numFmtId="0" fontId="6" fillId="0" borderId="0" xfId="0" applyFont="1"/>
    <xf numFmtId="0" fontId="0" fillId="0" borderId="0" xfId="0" applyAlignment="1">
      <alignment horizontal="right" vertical="center"/>
    </xf>
    <xf numFmtId="0" fontId="0" fillId="0" borderId="1" xfId="0" applyBorder="1" applyAlignment="1">
      <alignment horizontal="center" vertical="center"/>
    </xf>
    <xf numFmtId="166" fontId="7" fillId="2" borderId="3" xfId="0" applyNumberFormat="1" applyFont="1" applyFill="1" applyBorder="1" applyAlignment="1">
      <alignment horizontal="center" vertical="center"/>
    </xf>
    <xf numFmtId="166" fontId="7" fillId="2" borderId="0" xfId="0" applyNumberFormat="1" applyFont="1" applyFill="1" applyAlignment="1">
      <alignment horizontal="center" vertical="center"/>
    </xf>
    <xf numFmtId="166" fontId="7" fillId="2" borderId="4" xfId="0" applyNumberFormat="1" applyFont="1" applyFill="1" applyBorder="1" applyAlignment="1">
      <alignment horizontal="center" vertical="center"/>
    </xf>
    <xf numFmtId="0" fontId="8" fillId="0" borderId="0" xfId="0" applyFont="1" applyAlignment="1">
      <alignment horizontal="right" vertical="center"/>
    </xf>
    <xf numFmtId="0" fontId="9" fillId="3" borderId="5" xfId="0" applyFont="1" applyFill="1" applyBorder="1" applyAlignment="1">
      <alignment horizontal="left" vertical="center" indent="1"/>
    </xf>
    <xf numFmtId="0" fontId="9" fillId="3" borderId="5" xfId="0" applyFont="1" applyFill="1" applyBorder="1" applyAlignment="1">
      <alignment horizontal="center" vertical="center" wrapText="1"/>
    </xf>
    <xf numFmtId="0" fontId="10" fillId="3" borderId="6" xfId="0" applyFont="1" applyFill="1" applyBorder="1" applyAlignment="1">
      <alignment horizontal="center" vertical="center" shrinkToFit="1"/>
    </xf>
    <xf numFmtId="0" fontId="0" fillId="0" borderId="7" xfId="0" applyBorder="1" applyAlignment="1">
      <alignment horizontal="left" vertical="center" indent="1"/>
    </xf>
    <xf numFmtId="0" fontId="0" fillId="0" borderId="7" xfId="0" applyBorder="1" applyAlignment="1">
      <alignment horizontal="center" vertical="center"/>
    </xf>
    <xf numFmtId="9" fontId="11" fillId="0" borderId="7" xfId="0" applyNumberFormat="1" applyFont="1" applyBorder="1" applyAlignment="1">
      <alignment horizontal="center" vertical="center"/>
    </xf>
    <xf numFmtId="167" fontId="0" fillId="0" borderId="7" xfId="0" applyNumberFormat="1" applyBorder="1" applyAlignment="1">
      <alignment horizontal="center" vertical="center"/>
    </xf>
    <xf numFmtId="167" fontId="11" fillId="0" borderId="7" xfId="0" applyNumberFormat="1" applyFont="1" applyBorder="1" applyAlignment="1">
      <alignment horizontal="center" vertical="center"/>
    </xf>
    <xf numFmtId="0" fontId="11" fillId="0" borderId="7" xfId="0" applyFont="1" applyBorder="1" applyAlignment="1">
      <alignment horizontal="center" vertical="center"/>
    </xf>
    <xf numFmtId="0" fontId="0" fillId="0" borderId="8" xfId="0" applyBorder="1" applyAlignment="1">
      <alignment vertical="center"/>
    </xf>
    <xf numFmtId="0" fontId="0" fillId="0" borderId="0" xfId="0" applyAlignment="1">
      <alignment vertical="center"/>
    </xf>
    <xf numFmtId="0" fontId="12" fillId="4" borderId="7" xfId="0" applyFont="1" applyFill="1" applyBorder="1" applyAlignment="1">
      <alignment horizontal="left" vertical="center" indent="1"/>
    </xf>
    <xf numFmtId="0" fontId="12" fillId="4" borderId="7" xfId="0" applyFont="1" applyFill="1" applyBorder="1" applyAlignment="1">
      <alignment horizontal="center" vertical="center"/>
    </xf>
    <xf numFmtId="9" fontId="11" fillId="4" borderId="7" xfId="0" applyNumberFormat="1" applyFont="1" applyFill="1" applyBorder="1" applyAlignment="1">
      <alignment horizontal="center" vertical="center"/>
    </xf>
    <xf numFmtId="167" fontId="0" fillId="4" borderId="7" xfId="0" applyNumberFormat="1" applyFill="1" applyBorder="1" applyAlignment="1">
      <alignment horizontal="center" vertical="center"/>
    </xf>
    <xf numFmtId="167" fontId="11" fillId="4" borderId="7" xfId="0" applyNumberFormat="1" applyFont="1" applyFill="1" applyBorder="1" applyAlignment="1">
      <alignment horizontal="center" vertical="center"/>
    </xf>
    <xf numFmtId="0" fontId="0" fillId="5" borderId="7" xfId="0" applyFill="1" applyBorder="1" applyAlignment="1">
      <alignment horizontal="left" vertical="center" indent="2"/>
    </xf>
    <xf numFmtId="0" fontId="0" fillId="5" borderId="7" xfId="0" applyFill="1" applyBorder="1" applyAlignment="1">
      <alignment horizontal="center" vertical="center"/>
    </xf>
    <xf numFmtId="9" fontId="11" fillId="5" borderId="7" xfId="0" applyNumberFormat="1" applyFont="1" applyFill="1" applyBorder="1" applyAlignment="1">
      <alignment horizontal="center" vertical="center"/>
    </xf>
    <xf numFmtId="167" fontId="0" fillId="5" borderId="7" xfId="0" applyNumberFormat="1" applyFill="1" applyBorder="1" applyAlignment="1">
      <alignment horizontal="center" vertical="center"/>
    </xf>
    <xf numFmtId="167" fontId="11" fillId="5" borderId="7" xfId="0" applyNumberFormat="1" applyFont="1" applyFill="1" applyBorder="1" applyAlignment="1">
      <alignment horizontal="center" vertical="center"/>
    </xf>
    <xf numFmtId="0" fontId="0" fillId="0" borderId="8" xfId="0" applyBorder="1" applyAlignment="1">
      <alignment horizontal="right" vertical="center"/>
    </xf>
    <xf numFmtId="0" fontId="12" fillId="6" borderId="7" xfId="0" applyFont="1" applyFill="1" applyBorder="1" applyAlignment="1">
      <alignment horizontal="left" vertical="center" indent="1"/>
    </xf>
    <xf numFmtId="0" fontId="12" fillId="6" borderId="7" xfId="0" applyFont="1" applyFill="1" applyBorder="1" applyAlignment="1">
      <alignment horizontal="center" vertical="center"/>
    </xf>
    <xf numFmtId="9" fontId="11" fillId="6" borderId="7" xfId="0" applyNumberFormat="1" applyFont="1" applyFill="1" applyBorder="1" applyAlignment="1">
      <alignment horizontal="center" vertical="center"/>
    </xf>
    <xf numFmtId="167" fontId="0" fillId="6" borderId="7" xfId="0" applyNumberFormat="1" applyFill="1" applyBorder="1" applyAlignment="1">
      <alignment horizontal="center" vertical="center"/>
    </xf>
    <xf numFmtId="167" fontId="11" fillId="6" borderId="7" xfId="0" applyNumberFormat="1" applyFont="1" applyFill="1" applyBorder="1" applyAlignment="1">
      <alignment horizontal="center" vertical="center"/>
    </xf>
    <xf numFmtId="0" fontId="0" fillId="7" borderId="7" xfId="0" applyFill="1" applyBorder="1" applyAlignment="1">
      <alignment horizontal="left" vertical="center" indent="2"/>
    </xf>
    <xf numFmtId="0" fontId="0" fillId="7" borderId="7" xfId="0" applyFill="1" applyBorder="1" applyAlignment="1">
      <alignment horizontal="center" vertical="center"/>
    </xf>
    <xf numFmtId="9" fontId="11" fillId="7" borderId="7" xfId="0" applyNumberFormat="1" applyFont="1" applyFill="1" applyBorder="1" applyAlignment="1">
      <alignment horizontal="center" vertical="center"/>
    </xf>
    <xf numFmtId="167" fontId="0" fillId="7" borderId="7" xfId="0" applyNumberFormat="1" applyFill="1" applyBorder="1" applyAlignment="1">
      <alignment horizontal="center" vertical="center"/>
    </xf>
    <xf numFmtId="167" fontId="11" fillId="7" borderId="7" xfId="0" applyNumberFormat="1" applyFont="1" applyFill="1" applyBorder="1" applyAlignment="1">
      <alignment horizontal="center" vertical="center"/>
    </xf>
    <xf numFmtId="0" fontId="12" fillId="8" borderId="7" xfId="0" applyFont="1" applyFill="1" applyBorder="1" applyAlignment="1">
      <alignment horizontal="left" vertical="center" indent="1"/>
    </xf>
    <xf numFmtId="0" fontId="12" fillId="8" borderId="7" xfId="0" applyFont="1" applyFill="1" applyBorder="1" applyAlignment="1">
      <alignment horizontal="center" vertical="center"/>
    </xf>
    <xf numFmtId="9" fontId="11" fillId="8" borderId="7" xfId="0" applyNumberFormat="1" applyFont="1" applyFill="1" applyBorder="1" applyAlignment="1">
      <alignment horizontal="center" vertical="center"/>
    </xf>
    <xf numFmtId="167" fontId="0" fillId="8" borderId="7" xfId="0" applyNumberFormat="1" applyFill="1" applyBorder="1" applyAlignment="1">
      <alignment horizontal="center" vertical="center"/>
    </xf>
    <xf numFmtId="167" fontId="11" fillId="8" borderId="7" xfId="0" applyNumberFormat="1" applyFont="1" applyFill="1" applyBorder="1" applyAlignment="1">
      <alignment horizontal="center" vertical="center"/>
    </xf>
    <xf numFmtId="0" fontId="0" fillId="9" borderId="7" xfId="0" applyFill="1" applyBorder="1" applyAlignment="1">
      <alignment horizontal="left" vertical="center" indent="2"/>
    </xf>
    <xf numFmtId="0" fontId="0" fillId="9" borderId="7" xfId="0" applyFill="1" applyBorder="1" applyAlignment="1">
      <alignment horizontal="center" vertical="center"/>
    </xf>
    <xf numFmtId="9" fontId="11" fillId="9" borderId="7" xfId="0" applyNumberFormat="1" applyFont="1" applyFill="1" applyBorder="1" applyAlignment="1">
      <alignment horizontal="center" vertical="center"/>
    </xf>
    <xf numFmtId="167" fontId="0" fillId="9" borderId="7" xfId="0" applyNumberFormat="1" applyFill="1" applyBorder="1" applyAlignment="1">
      <alignment horizontal="center" vertical="center"/>
    </xf>
    <xf numFmtId="167" fontId="11" fillId="9" borderId="7" xfId="0" applyNumberFormat="1" applyFont="1" applyFill="1" applyBorder="1" applyAlignment="1">
      <alignment horizontal="center" vertical="center"/>
    </xf>
    <xf numFmtId="0" fontId="12" fillId="10" borderId="7" xfId="0" applyFont="1" applyFill="1" applyBorder="1" applyAlignment="1">
      <alignment horizontal="left" vertical="center" indent="1"/>
    </xf>
    <xf numFmtId="0" fontId="12" fillId="10" borderId="7" xfId="0" applyFont="1" applyFill="1" applyBorder="1" applyAlignment="1">
      <alignment horizontal="center" vertical="center"/>
    </xf>
    <xf numFmtId="9" fontId="11" fillId="10" borderId="7" xfId="0" applyNumberFormat="1" applyFont="1" applyFill="1" applyBorder="1" applyAlignment="1">
      <alignment horizontal="center" vertical="center"/>
    </xf>
    <xf numFmtId="167" fontId="0" fillId="10" borderId="7" xfId="0" applyNumberFormat="1" applyFill="1" applyBorder="1" applyAlignment="1">
      <alignment horizontal="center" vertical="center"/>
    </xf>
    <xf numFmtId="167" fontId="11" fillId="10" borderId="7" xfId="0" applyNumberFormat="1" applyFont="1" applyFill="1" applyBorder="1" applyAlignment="1">
      <alignment horizontal="center" vertical="center"/>
    </xf>
    <xf numFmtId="0" fontId="0" fillId="11" borderId="7" xfId="0" applyFill="1" applyBorder="1" applyAlignment="1">
      <alignment horizontal="left" vertical="center" indent="2"/>
    </xf>
    <xf numFmtId="0" fontId="0" fillId="11" borderId="7" xfId="0" applyFill="1" applyBorder="1" applyAlignment="1">
      <alignment horizontal="center" vertical="center"/>
    </xf>
    <xf numFmtId="9" fontId="11" fillId="11" borderId="7" xfId="0" applyNumberFormat="1" applyFont="1" applyFill="1" applyBorder="1" applyAlignment="1">
      <alignment horizontal="center" vertical="center"/>
    </xf>
    <xf numFmtId="167" fontId="0" fillId="11" borderId="7" xfId="0" applyNumberFormat="1" applyFill="1" applyBorder="1" applyAlignment="1">
      <alignment horizontal="center" vertical="center"/>
    </xf>
    <xf numFmtId="167" fontId="11" fillId="11" borderId="7" xfId="0" applyNumberFormat="1" applyFont="1" applyFill="1" applyBorder="1" applyAlignment="1">
      <alignment horizontal="center" vertical="center"/>
    </xf>
    <xf numFmtId="0" fontId="12" fillId="12" borderId="7" xfId="0" applyFont="1" applyFill="1" applyBorder="1" applyAlignment="1">
      <alignment horizontal="left" vertical="center" indent="1"/>
    </xf>
    <xf numFmtId="0" fontId="12" fillId="12" borderId="7" xfId="0" applyFont="1" applyFill="1" applyBorder="1" applyAlignment="1">
      <alignment horizontal="center" vertical="center"/>
    </xf>
    <xf numFmtId="9" fontId="11" fillId="12" borderId="7" xfId="0" applyNumberFormat="1" applyFont="1" applyFill="1" applyBorder="1" applyAlignment="1">
      <alignment horizontal="center" vertical="center"/>
    </xf>
    <xf numFmtId="167" fontId="0" fillId="12" borderId="7" xfId="0" applyNumberFormat="1" applyFill="1" applyBorder="1" applyAlignment="1">
      <alignment horizontal="center" vertical="center"/>
    </xf>
    <xf numFmtId="167" fontId="11" fillId="12" borderId="7" xfId="0" applyNumberFormat="1" applyFont="1" applyFill="1" applyBorder="1" applyAlignment="1">
      <alignment horizontal="center" vertical="center"/>
    </xf>
    <xf numFmtId="0" fontId="0" fillId="13" borderId="7" xfId="0" applyFill="1" applyBorder="1" applyAlignment="1">
      <alignment horizontal="left" vertical="center" indent="2"/>
    </xf>
    <xf numFmtId="0" fontId="0" fillId="13" borderId="7" xfId="0" applyFill="1" applyBorder="1" applyAlignment="1">
      <alignment horizontal="center" vertical="center"/>
    </xf>
    <xf numFmtId="9" fontId="11" fillId="13" borderId="7" xfId="0" applyNumberFormat="1" applyFont="1" applyFill="1" applyBorder="1" applyAlignment="1">
      <alignment horizontal="center" vertical="center"/>
    </xf>
    <xf numFmtId="167" fontId="0" fillId="13" borderId="7" xfId="0" applyNumberFormat="1" applyFill="1" applyBorder="1" applyAlignment="1">
      <alignment horizontal="center" vertical="center"/>
    </xf>
    <xf numFmtId="167" fontId="11" fillId="13" borderId="7" xfId="0" applyNumberFormat="1" applyFont="1" applyFill="1" applyBorder="1" applyAlignment="1">
      <alignment horizontal="center" vertical="center"/>
    </xf>
    <xf numFmtId="0" fontId="13" fillId="14" borderId="7" xfId="0" applyFont="1" applyFill="1" applyBorder="1" applyAlignment="1">
      <alignment horizontal="left" vertical="center" indent="1"/>
    </xf>
    <xf numFmtId="0" fontId="13" fillId="14" borderId="7" xfId="0" applyFont="1" applyFill="1" applyBorder="1" applyAlignment="1">
      <alignment horizontal="center" vertical="center"/>
    </xf>
    <xf numFmtId="9" fontId="11" fillId="14" borderId="7" xfId="0" applyNumberFormat="1" applyFont="1" applyFill="1" applyBorder="1" applyAlignment="1">
      <alignment horizontal="center" vertical="center"/>
    </xf>
    <xf numFmtId="167" fontId="14" fillId="14" borderId="7" xfId="0" applyNumberFormat="1" applyFont="1" applyFill="1" applyBorder="1" applyAlignment="1">
      <alignment horizontal="left" vertical="center"/>
    </xf>
    <xf numFmtId="167" fontId="11" fillId="14" borderId="7" xfId="0" applyNumberFormat="1" applyFont="1" applyFill="1" applyBorder="1" applyAlignment="1">
      <alignment horizontal="center" vertical="center"/>
    </xf>
    <xf numFmtId="0" fontId="11" fillId="14" borderId="7" xfId="0" applyFont="1" applyFill="1" applyBorder="1" applyAlignment="1">
      <alignment horizontal="center" vertical="center"/>
    </xf>
    <xf numFmtId="0" fontId="0" fillId="14" borderId="8" xfId="0" applyFill="1" applyBorder="1" applyAlignment="1">
      <alignment vertical="center"/>
    </xf>
    <xf numFmtId="0" fontId="15" fillId="0" borderId="0" xfId="0" applyFont="1"/>
    <xf numFmtId="168" fontId="16" fillId="0" borderId="0" xfId="0" applyNumberFormat="1" applyFont="1" applyAlignment="1">
      <alignment horizontal="center"/>
    </xf>
    <xf numFmtId="0" fontId="17" fillId="0" borderId="0" xfId="0" applyFont="1"/>
    <xf numFmtId="0" fontId="18" fillId="0" borderId="0" xfId="0" applyFont="1"/>
    <xf numFmtId="0" fontId="3"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3" fillId="0" borderId="0" xfId="0" applyFont="1" applyAlignment="1">
      <alignment horizontal="left" vertical="center"/>
    </xf>
    <xf numFmtId="0" fontId="22" fillId="0" borderId="0" xfId="0" applyFont="1" applyAlignment="1">
      <alignment vertical="center"/>
    </xf>
    <xf numFmtId="0" fontId="23" fillId="0" borderId="0" xfId="0" applyFont="1" applyAlignment="1">
      <alignment vertical="top"/>
    </xf>
    <xf numFmtId="0" fontId="24" fillId="0" borderId="0" xfId="0" applyFont="1"/>
    <xf numFmtId="0" fontId="25" fillId="0" borderId="0" xfId="0" applyFont="1" applyAlignment="1">
      <alignment vertical="center"/>
    </xf>
    <xf numFmtId="0" fontId="26" fillId="0" borderId="0" xfId="0" applyFont="1" applyAlignment="1">
      <alignment horizontal="left" vertical="top" wrapText="1" indent="1"/>
    </xf>
    <xf numFmtId="0" fontId="26" fillId="0" borderId="0" xfId="0" applyFont="1" applyAlignment="1">
      <alignment vertical="top" wrapText="1"/>
    </xf>
    <xf numFmtId="0" fontId="27" fillId="0" borderId="0" xfId="0" applyFont="1" applyAlignment="1">
      <alignment horizontal="left" indent="1"/>
    </xf>
  </cellXfs>
  <cellStyles count="1">
    <cellStyle name="Normal" xfId="0" builtinId="0"/>
  </cellStyles>
  <dxfs count="3">
    <dxf>
      <fill>
        <patternFill>
          <bgColor theme="7"/>
        </patternFill>
      </fill>
      <border diagonalUp="0" diagonalDown="0">
        <left/>
        <right/>
        <top/>
        <bottom/>
      </border>
    </dxf>
    <dxf>
      <fill>
        <patternFill>
          <bgColor theme="0" tint="-0.34998626667073579"/>
        </patternFill>
      </fill>
    </dxf>
    <dxf>
      <border diagonalUp="0" diagonalDown="0">
        <left style="thin">
          <color rgb="FFC00000"/>
        </left>
        <right style="thin">
          <color rgb="FFC00000"/>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CCC1DA"/>
      <rgbColor rgb="FF808080"/>
      <rgbColor rgb="FFE6E0EC"/>
      <rgbColor rgb="FF595959"/>
      <rgbColor rgb="FFEBF1DE"/>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2"/>
      <rgbColor rgb="FFD7E4BD"/>
      <rgbColor rgb="FFF2F2F2"/>
      <rgbColor rgb="FFB7DEE8"/>
      <rgbColor rgb="FFF2DCDB"/>
      <rgbColor rgb="FFD9D9D9"/>
      <rgbColor rgb="FFE6B9B8"/>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76092"/>
      <rgbColor rgb="FF1D21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xl/media/image1.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95400</xdr:rowOff>
    </xdr:from>
    <xdr:to>
      <xdr:col>1</xdr:col>
      <xdr:colOff>1904400</xdr:colOff>
      <xdr:row>0</xdr:row>
      <xdr:rowOff>523440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2"/>
        <a:stretch/>
      </xdr:blipFill>
      <xdr:spPr>
        <a:xfrm>
          <a:off x="201240" y="95400"/>
          <a:ext cx="1904400" cy="4280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45"/>
  <sheetViews>
    <sheetView showGridLines="0" tabSelected="1" zoomScaleNormal="100" workbookViewId="0">
      <pane ySplit="6" topLeftCell="A7" activePane="bottomLeft" state="frozen"/>
      <selection pane="bottomLeft"/>
    </sheetView>
  </sheetViews>
  <sheetFormatPr defaultColWidth="8.6640625" defaultRowHeight="14.4" x14ac:dyDescent="0.3"/>
  <cols>
    <col min="1" max="1" width="2.6640625" customWidth="1"/>
    <col min="2" max="2" width="19.88671875" customWidth="1"/>
    <col min="3" max="3" width="9.109375" customWidth="1"/>
    <col min="4" max="4" width="10.6640625" customWidth="1"/>
    <col min="5" max="5" width="10.44140625" style="4" customWidth="1"/>
    <col min="6" max="6" width="10.44140625" customWidth="1"/>
    <col min="7" max="7" width="2.6640625" customWidth="1"/>
    <col min="8" max="8" width="6.109375" hidden="1" customWidth="1"/>
    <col min="9" max="64" width="2.5546875" customWidth="1"/>
    <col min="69" max="70" width="10.33203125" customWidth="1"/>
  </cols>
  <sheetData>
    <row r="1" spans="1:64" ht="28.5" customHeight="1" x14ac:dyDescent="0.55000000000000004">
      <c r="B1" s="5" t="s">
        <v>0</v>
      </c>
      <c r="C1" s="6"/>
      <c r="D1" s="7"/>
      <c r="E1" s="8"/>
      <c r="F1" s="9"/>
      <c r="H1" s="7"/>
      <c r="I1" s="10"/>
      <c r="J1" s="3" t="str">
        <f>HYPERLINK("https://vertex42.link/HowToMakeAGanttChart","► Watch How to Make a Gantt Chart in Excel")</f>
        <v>► Watch How to Make a Gantt Chart in Excel</v>
      </c>
      <c r="K1" s="3"/>
      <c r="L1" s="3"/>
      <c r="M1" s="3"/>
      <c r="N1" s="3"/>
      <c r="O1" s="3"/>
      <c r="P1" s="3"/>
      <c r="Q1" s="3"/>
      <c r="R1" s="3"/>
      <c r="S1" s="3"/>
      <c r="T1" s="3"/>
      <c r="U1" s="3"/>
      <c r="V1" s="3"/>
      <c r="W1" s="3"/>
      <c r="X1" s="3"/>
      <c r="Y1" s="3"/>
      <c r="Z1" s="3"/>
      <c r="AA1" s="3"/>
    </row>
    <row r="2" spans="1:64" ht="19.5" customHeight="1" x14ac:dyDescent="0.35">
      <c r="B2" s="11" t="s">
        <v>1</v>
      </c>
      <c r="D2" s="12" t="s">
        <v>2</v>
      </c>
      <c r="E2" s="2">
        <v>46252</v>
      </c>
      <c r="F2" s="2"/>
    </row>
    <row r="3" spans="1:64" ht="19.5" customHeight="1" x14ac:dyDescent="0.35">
      <c r="B3" s="11" t="s">
        <v>3</v>
      </c>
      <c r="D3" s="12" t="s">
        <v>4</v>
      </c>
      <c r="E3" s="2">
        <v>46280</v>
      </c>
      <c r="F3" s="2"/>
    </row>
    <row r="4" spans="1:64" ht="19.5" customHeight="1" x14ac:dyDescent="0.3">
      <c r="D4" s="12" t="s">
        <v>5</v>
      </c>
      <c r="E4" s="13">
        <v>1</v>
      </c>
      <c r="I4" s="1">
        <f>I5</f>
        <v>46251</v>
      </c>
      <c r="J4" s="1"/>
      <c r="K4" s="1"/>
      <c r="L4" s="1"/>
      <c r="M4" s="1"/>
      <c r="N4" s="1"/>
      <c r="O4" s="1"/>
      <c r="P4" s="1">
        <f>P5</f>
        <v>46258</v>
      </c>
      <c r="Q4" s="1"/>
      <c r="R4" s="1"/>
      <c r="S4" s="1"/>
      <c r="T4" s="1"/>
      <c r="U4" s="1"/>
      <c r="V4" s="1"/>
      <c r="W4" s="1">
        <f>W5</f>
        <v>46265</v>
      </c>
      <c r="X4" s="1"/>
      <c r="Y4" s="1"/>
      <c r="Z4" s="1"/>
      <c r="AA4" s="1"/>
      <c r="AB4" s="1"/>
      <c r="AC4" s="1"/>
      <c r="AD4" s="1">
        <f>AD5</f>
        <v>46272</v>
      </c>
      <c r="AE4" s="1"/>
      <c r="AF4" s="1"/>
      <c r="AG4" s="1"/>
      <c r="AH4" s="1"/>
      <c r="AI4" s="1"/>
      <c r="AJ4" s="1"/>
      <c r="AK4" s="1">
        <f>AK5</f>
        <v>46279</v>
      </c>
      <c r="AL4" s="1"/>
      <c r="AM4" s="1"/>
      <c r="AN4" s="1"/>
      <c r="AO4" s="1"/>
      <c r="AP4" s="1"/>
      <c r="AQ4" s="1"/>
      <c r="AR4" s="1">
        <f>AR5</f>
        <v>46286</v>
      </c>
      <c r="AS4" s="1"/>
      <c r="AT4" s="1"/>
      <c r="AU4" s="1"/>
      <c r="AV4" s="1"/>
      <c r="AW4" s="1"/>
      <c r="AX4" s="1"/>
      <c r="AY4" s="1">
        <f>AY5</f>
        <v>46293</v>
      </c>
      <c r="AZ4" s="1"/>
      <c r="BA4" s="1"/>
      <c r="BB4" s="1"/>
      <c r="BC4" s="1"/>
      <c r="BD4" s="1"/>
      <c r="BE4" s="1"/>
      <c r="BF4" s="1">
        <f>BF5</f>
        <v>46300</v>
      </c>
      <c r="BG4" s="1"/>
      <c r="BH4" s="1"/>
      <c r="BI4" s="1"/>
      <c r="BJ4" s="1"/>
      <c r="BK4" s="1"/>
      <c r="BL4" s="1"/>
    </row>
    <row r="5" spans="1:64" ht="15" customHeight="1" x14ac:dyDescent="0.3">
      <c r="A5" s="12"/>
      <c r="G5" s="12"/>
      <c r="I5" s="14">
        <f>E2-WEEKDAY(E2,1)+2+7*(E4-1)</f>
        <v>46251</v>
      </c>
      <c r="J5" s="15">
        <f t="shared" ref="J5:AO5" si="0">I5+1</f>
        <v>46252</v>
      </c>
      <c r="K5" s="15">
        <f t="shared" si="0"/>
        <v>46253</v>
      </c>
      <c r="L5" s="15">
        <f t="shared" si="0"/>
        <v>46254</v>
      </c>
      <c r="M5" s="15">
        <f t="shared" si="0"/>
        <v>46255</v>
      </c>
      <c r="N5" s="15">
        <f t="shared" si="0"/>
        <v>46256</v>
      </c>
      <c r="O5" s="16">
        <f t="shared" si="0"/>
        <v>46257</v>
      </c>
      <c r="P5" s="14">
        <f t="shared" si="0"/>
        <v>46258</v>
      </c>
      <c r="Q5" s="15">
        <f t="shared" si="0"/>
        <v>46259</v>
      </c>
      <c r="R5" s="15">
        <f t="shared" si="0"/>
        <v>46260</v>
      </c>
      <c r="S5" s="15">
        <f t="shared" si="0"/>
        <v>46261</v>
      </c>
      <c r="T5" s="15">
        <f t="shared" si="0"/>
        <v>46262</v>
      </c>
      <c r="U5" s="15">
        <f t="shared" si="0"/>
        <v>46263</v>
      </c>
      <c r="V5" s="16">
        <f t="shared" si="0"/>
        <v>46264</v>
      </c>
      <c r="W5" s="14">
        <f t="shared" si="0"/>
        <v>46265</v>
      </c>
      <c r="X5" s="15">
        <f t="shared" si="0"/>
        <v>46266</v>
      </c>
      <c r="Y5" s="15">
        <f t="shared" si="0"/>
        <v>46267</v>
      </c>
      <c r="Z5" s="15">
        <f t="shared" si="0"/>
        <v>46268</v>
      </c>
      <c r="AA5" s="15">
        <f t="shared" si="0"/>
        <v>46269</v>
      </c>
      <c r="AB5" s="15">
        <f t="shared" si="0"/>
        <v>46270</v>
      </c>
      <c r="AC5" s="16">
        <f t="shared" si="0"/>
        <v>46271</v>
      </c>
      <c r="AD5" s="14">
        <f t="shared" si="0"/>
        <v>46272</v>
      </c>
      <c r="AE5" s="15">
        <f t="shared" si="0"/>
        <v>46273</v>
      </c>
      <c r="AF5" s="15">
        <f t="shared" si="0"/>
        <v>46274</v>
      </c>
      <c r="AG5" s="15">
        <f t="shared" si="0"/>
        <v>46275</v>
      </c>
      <c r="AH5" s="15">
        <f t="shared" si="0"/>
        <v>46276</v>
      </c>
      <c r="AI5" s="15">
        <f t="shared" si="0"/>
        <v>46277</v>
      </c>
      <c r="AJ5" s="16">
        <f t="shared" si="0"/>
        <v>46278</v>
      </c>
      <c r="AK5" s="14">
        <f t="shared" si="0"/>
        <v>46279</v>
      </c>
      <c r="AL5" s="15">
        <f t="shared" si="0"/>
        <v>46280</v>
      </c>
      <c r="AM5" s="15">
        <f t="shared" si="0"/>
        <v>46281</v>
      </c>
      <c r="AN5" s="15">
        <f t="shared" si="0"/>
        <v>46282</v>
      </c>
      <c r="AO5" s="15">
        <f t="shared" si="0"/>
        <v>46283</v>
      </c>
      <c r="AP5" s="15">
        <f t="shared" ref="AP5:BL5" si="1">AO5+1</f>
        <v>46284</v>
      </c>
      <c r="AQ5" s="16">
        <f t="shared" si="1"/>
        <v>46285</v>
      </c>
      <c r="AR5" s="14">
        <f t="shared" si="1"/>
        <v>46286</v>
      </c>
      <c r="AS5" s="15">
        <f t="shared" si="1"/>
        <v>46287</v>
      </c>
      <c r="AT5" s="15">
        <f t="shared" si="1"/>
        <v>46288</v>
      </c>
      <c r="AU5" s="15">
        <f t="shared" si="1"/>
        <v>46289</v>
      </c>
      <c r="AV5" s="15">
        <f t="shared" si="1"/>
        <v>46290</v>
      </c>
      <c r="AW5" s="15">
        <f t="shared" si="1"/>
        <v>46291</v>
      </c>
      <c r="AX5" s="16">
        <f t="shared" si="1"/>
        <v>46292</v>
      </c>
      <c r="AY5" s="14">
        <f t="shared" si="1"/>
        <v>46293</v>
      </c>
      <c r="AZ5" s="15">
        <f t="shared" si="1"/>
        <v>46294</v>
      </c>
      <c r="BA5" s="15">
        <f t="shared" si="1"/>
        <v>46295</v>
      </c>
      <c r="BB5" s="15">
        <f t="shared" si="1"/>
        <v>46296</v>
      </c>
      <c r="BC5" s="15">
        <f t="shared" si="1"/>
        <v>46297</v>
      </c>
      <c r="BD5" s="15">
        <f t="shared" si="1"/>
        <v>46298</v>
      </c>
      <c r="BE5" s="16">
        <f t="shared" si="1"/>
        <v>46299</v>
      </c>
      <c r="BF5" s="14">
        <f t="shared" si="1"/>
        <v>46300</v>
      </c>
      <c r="BG5" s="15">
        <f t="shared" si="1"/>
        <v>46301</v>
      </c>
      <c r="BH5" s="15">
        <f t="shared" si="1"/>
        <v>46302</v>
      </c>
      <c r="BI5" s="15">
        <f t="shared" si="1"/>
        <v>46303</v>
      </c>
      <c r="BJ5" s="15">
        <f t="shared" si="1"/>
        <v>46304</v>
      </c>
      <c r="BK5" s="15">
        <f t="shared" si="1"/>
        <v>46305</v>
      </c>
      <c r="BL5" s="16">
        <f t="shared" si="1"/>
        <v>46306</v>
      </c>
    </row>
    <row r="6" spans="1:64" ht="29.25" customHeight="1" x14ac:dyDescent="0.3">
      <c r="A6" s="17"/>
      <c r="B6" s="18" t="s">
        <v>6</v>
      </c>
      <c r="C6" s="19" t="s">
        <v>7</v>
      </c>
      <c r="D6" s="19" t="s">
        <v>8</v>
      </c>
      <c r="E6" s="19" t="s">
        <v>9</v>
      </c>
      <c r="F6" s="19" t="s">
        <v>10</v>
      </c>
      <c r="G6" s="19"/>
      <c r="H6" s="19" t="s">
        <v>11</v>
      </c>
      <c r="I6" s="20" t="str">
        <f t="shared" ref="I6:AN6" si="2">LEFT(TEXT(I5,"ddd"),1)</f>
        <v>M</v>
      </c>
      <c r="J6" s="20" t="str">
        <f t="shared" si="2"/>
        <v>T</v>
      </c>
      <c r="K6" s="20" t="str">
        <f t="shared" si="2"/>
        <v>W</v>
      </c>
      <c r="L6" s="20" t="str">
        <f t="shared" si="2"/>
        <v>T</v>
      </c>
      <c r="M6" s="20" t="str">
        <f t="shared" si="2"/>
        <v>F</v>
      </c>
      <c r="N6" s="20" t="str">
        <f t="shared" si="2"/>
        <v>S</v>
      </c>
      <c r="O6" s="20" t="str">
        <f t="shared" si="2"/>
        <v>S</v>
      </c>
      <c r="P6" s="20" t="str">
        <f t="shared" si="2"/>
        <v>M</v>
      </c>
      <c r="Q6" s="20" t="str">
        <f t="shared" si="2"/>
        <v>T</v>
      </c>
      <c r="R6" s="20" t="str">
        <f t="shared" si="2"/>
        <v>W</v>
      </c>
      <c r="S6" s="20" t="str">
        <f t="shared" si="2"/>
        <v>T</v>
      </c>
      <c r="T6" s="20" t="str">
        <f t="shared" si="2"/>
        <v>F</v>
      </c>
      <c r="U6" s="20" t="str">
        <f t="shared" si="2"/>
        <v>S</v>
      </c>
      <c r="V6" s="20" t="str">
        <f t="shared" si="2"/>
        <v>S</v>
      </c>
      <c r="W6" s="20" t="str">
        <f t="shared" si="2"/>
        <v>M</v>
      </c>
      <c r="X6" s="20" t="str">
        <f t="shared" si="2"/>
        <v>T</v>
      </c>
      <c r="Y6" s="20" t="str">
        <f t="shared" si="2"/>
        <v>W</v>
      </c>
      <c r="Z6" s="20" t="str">
        <f t="shared" si="2"/>
        <v>T</v>
      </c>
      <c r="AA6" s="20" t="str">
        <f t="shared" si="2"/>
        <v>F</v>
      </c>
      <c r="AB6" s="20" t="str">
        <f t="shared" si="2"/>
        <v>S</v>
      </c>
      <c r="AC6" s="20" t="str">
        <f t="shared" si="2"/>
        <v>S</v>
      </c>
      <c r="AD6" s="20" t="str">
        <f t="shared" si="2"/>
        <v>M</v>
      </c>
      <c r="AE6" s="20" t="str">
        <f t="shared" si="2"/>
        <v>T</v>
      </c>
      <c r="AF6" s="20" t="str">
        <f t="shared" si="2"/>
        <v>W</v>
      </c>
      <c r="AG6" s="20" t="str">
        <f t="shared" si="2"/>
        <v>T</v>
      </c>
      <c r="AH6" s="20" t="str">
        <f t="shared" si="2"/>
        <v>F</v>
      </c>
      <c r="AI6" s="20" t="str">
        <f t="shared" si="2"/>
        <v>S</v>
      </c>
      <c r="AJ6" s="20" t="str">
        <f t="shared" si="2"/>
        <v>S</v>
      </c>
      <c r="AK6" s="20" t="str">
        <f t="shared" si="2"/>
        <v>M</v>
      </c>
      <c r="AL6" s="20" t="str">
        <f t="shared" si="2"/>
        <v>T</v>
      </c>
      <c r="AM6" s="20" t="str">
        <f t="shared" si="2"/>
        <v>W</v>
      </c>
      <c r="AN6" s="20" t="str">
        <f t="shared" si="2"/>
        <v>T</v>
      </c>
      <c r="AO6" s="20" t="str">
        <f t="shared" ref="AO6:BT6" si="3">LEFT(TEXT(AO5,"ddd"),1)</f>
        <v>F</v>
      </c>
      <c r="AP6" s="20" t="str">
        <f t="shared" si="3"/>
        <v>S</v>
      </c>
      <c r="AQ6" s="20" t="str">
        <f t="shared" si="3"/>
        <v>S</v>
      </c>
      <c r="AR6" s="20" t="str">
        <f t="shared" si="3"/>
        <v>M</v>
      </c>
      <c r="AS6" s="20" t="str">
        <f t="shared" si="3"/>
        <v>T</v>
      </c>
      <c r="AT6" s="20" t="str">
        <f t="shared" si="3"/>
        <v>W</v>
      </c>
      <c r="AU6" s="20" t="str">
        <f t="shared" si="3"/>
        <v>T</v>
      </c>
      <c r="AV6" s="20" t="str">
        <f t="shared" si="3"/>
        <v>F</v>
      </c>
      <c r="AW6" s="20" t="str">
        <f t="shared" si="3"/>
        <v>S</v>
      </c>
      <c r="AX6" s="20" t="str">
        <f t="shared" si="3"/>
        <v>S</v>
      </c>
      <c r="AY6" s="20" t="str">
        <f t="shared" si="3"/>
        <v>M</v>
      </c>
      <c r="AZ6" s="20" t="str">
        <f t="shared" si="3"/>
        <v>T</v>
      </c>
      <c r="BA6" s="20" t="str">
        <f t="shared" si="3"/>
        <v>W</v>
      </c>
      <c r="BB6" s="20" t="str">
        <f t="shared" si="3"/>
        <v>T</v>
      </c>
      <c r="BC6" s="20" t="str">
        <f t="shared" si="3"/>
        <v>F</v>
      </c>
      <c r="BD6" s="20" t="str">
        <f t="shared" si="3"/>
        <v>S</v>
      </c>
      <c r="BE6" s="20" t="str">
        <f t="shared" si="3"/>
        <v>S</v>
      </c>
      <c r="BF6" s="20" t="str">
        <f t="shared" si="3"/>
        <v>M</v>
      </c>
      <c r="BG6" s="20" t="str">
        <f t="shared" si="3"/>
        <v>T</v>
      </c>
      <c r="BH6" s="20" t="str">
        <f t="shared" si="3"/>
        <v>W</v>
      </c>
      <c r="BI6" s="20" t="str">
        <f t="shared" si="3"/>
        <v>T</v>
      </c>
      <c r="BJ6" s="20" t="str">
        <f t="shared" si="3"/>
        <v>F</v>
      </c>
      <c r="BK6" s="20" t="str">
        <f t="shared" si="3"/>
        <v>S</v>
      </c>
      <c r="BL6" s="20" t="str">
        <f t="shared" si="3"/>
        <v>S</v>
      </c>
    </row>
    <row r="7" spans="1:64" s="28" customFormat="1" ht="21.75" customHeight="1" x14ac:dyDescent="0.3">
      <c r="A7" s="17"/>
      <c r="B7" s="21"/>
      <c r="C7" s="22"/>
      <c r="D7" s="23"/>
      <c r="E7" s="24"/>
      <c r="F7" s="25"/>
      <c r="G7" s="26"/>
      <c r="H7" s="26" t="str">
        <f t="shared" ref="H7:H41" si="4">IF(OR(ISBLANK(task_start),ISBLANK(task_end)),"",task_end-task_start+1)</f>
        <v/>
      </c>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row>
    <row r="8" spans="1:64" s="28" customFormat="1" ht="21.75" customHeight="1" x14ac:dyDescent="0.3">
      <c r="A8" s="17"/>
      <c r="B8" s="29" t="s">
        <v>12</v>
      </c>
      <c r="C8" s="30"/>
      <c r="D8" s="31"/>
      <c r="E8" s="32"/>
      <c r="F8" s="33"/>
      <c r="G8" s="26"/>
      <c r="H8" s="26" t="str">
        <f t="shared" si="4"/>
        <v/>
      </c>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row>
    <row r="9" spans="1:64" s="28" customFormat="1" ht="21.75" customHeight="1" x14ac:dyDescent="0.3">
      <c r="A9" s="17"/>
      <c r="B9" s="34" t="s">
        <v>13</v>
      </c>
      <c r="C9" s="35" t="s">
        <v>14</v>
      </c>
      <c r="D9" s="36">
        <v>1</v>
      </c>
      <c r="E9" s="37">
        <v>46252</v>
      </c>
      <c r="F9" s="38">
        <v>46259</v>
      </c>
      <c r="G9" s="26"/>
      <c r="H9" s="26">
        <f t="shared" si="4"/>
        <v>8</v>
      </c>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row>
    <row r="10" spans="1:64" s="28" customFormat="1" ht="21.75" customHeight="1" x14ac:dyDescent="0.3">
      <c r="A10" s="17"/>
      <c r="B10" s="34" t="s">
        <v>15</v>
      </c>
      <c r="C10" s="35" t="s">
        <v>16</v>
      </c>
      <c r="D10" s="36">
        <v>1</v>
      </c>
      <c r="E10" s="37">
        <v>46260</v>
      </c>
      <c r="F10" s="38">
        <v>46266</v>
      </c>
      <c r="G10" s="26"/>
      <c r="H10" s="26">
        <f t="shared" si="4"/>
        <v>7</v>
      </c>
      <c r="I10" s="27"/>
      <c r="J10" s="27"/>
      <c r="K10" s="27"/>
      <c r="L10" s="27"/>
      <c r="M10" s="27"/>
      <c r="N10" s="27"/>
      <c r="O10" s="27"/>
      <c r="P10" s="27"/>
      <c r="Q10" s="27"/>
      <c r="R10" s="27"/>
      <c r="S10" s="27"/>
      <c r="T10" s="27"/>
      <c r="U10" s="39"/>
      <c r="V10" s="39"/>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row>
    <row r="11" spans="1:64" s="28" customFormat="1" ht="21.75" customHeight="1" x14ac:dyDescent="0.3">
      <c r="A11" s="17"/>
      <c r="B11" s="34" t="s">
        <v>17</v>
      </c>
      <c r="C11" s="35" t="s">
        <v>14</v>
      </c>
      <c r="D11" s="36">
        <v>1</v>
      </c>
      <c r="E11" s="37">
        <v>46267</v>
      </c>
      <c r="F11" s="38">
        <v>46273</v>
      </c>
      <c r="G11" s="26"/>
      <c r="H11" s="26">
        <f t="shared" si="4"/>
        <v>7</v>
      </c>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row>
    <row r="12" spans="1:64" s="28" customFormat="1" ht="21.75" customHeight="1" x14ac:dyDescent="0.3">
      <c r="A12" s="17"/>
      <c r="B12" s="34" t="s">
        <v>18</v>
      </c>
      <c r="C12" s="35" t="s">
        <v>16</v>
      </c>
      <c r="D12" s="36">
        <v>1</v>
      </c>
      <c r="E12" s="37">
        <v>46274</v>
      </c>
      <c r="F12" s="38">
        <v>46280</v>
      </c>
      <c r="G12" s="26"/>
      <c r="H12" s="26">
        <f t="shared" si="4"/>
        <v>7</v>
      </c>
      <c r="I12" s="27"/>
      <c r="J12" s="27"/>
      <c r="K12" s="27"/>
      <c r="L12" s="27"/>
      <c r="M12" s="27"/>
      <c r="N12" s="27"/>
      <c r="O12" s="27"/>
      <c r="P12" s="27"/>
      <c r="Q12" s="27"/>
      <c r="R12" s="27"/>
      <c r="S12" s="27"/>
      <c r="T12" s="27"/>
      <c r="U12" s="27"/>
      <c r="V12" s="27"/>
      <c r="W12" s="27"/>
      <c r="X12" s="27"/>
      <c r="Y12" s="39"/>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row>
    <row r="13" spans="1:64" s="28" customFormat="1" ht="21.75" customHeight="1" x14ac:dyDescent="0.3">
      <c r="A13" s="17"/>
      <c r="B13" s="34"/>
      <c r="C13" s="35"/>
      <c r="D13" s="36"/>
      <c r="E13" s="37"/>
      <c r="F13" s="38"/>
      <c r="G13" s="26"/>
      <c r="H13" s="26" t="str">
        <f t="shared" si="4"/>
        <v/>
      </c>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row>
    <row r="14" spans="1:64" s="28" customFormat="1" ht="21.75" customHeight="1" x14ac:dyDescent="0.3">
      <c r="A14" s="17"/>
      <c r="B14" s="40" t="s">
        <v>19</v>
      </c>
      <c r="C14" s="41"/>
      <c r="D14" s="42"/>
      <c r="E14" s="43"/>
      <c r="F14" s="44"/>
      <c r="G14" s="26"/>
      <c r="H14" s="26" t="str">
        <f t="shared" si="4"/>
        <v/>
      </c>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row>
    <row r="15" spans="1:64" s="28" customFormat="1" ht="21.75" customHeight="1" x14ac:dyDescent="0.3">
      <c r="A15" s="17"/>
      <c r="B15" s="45" t="s">
        <v>20</v>
      </c>
      <c r="C15" s="46" t="s">
        <v>14</v>
      </c>
      <c r="D15" s="47"/>
      <c r="E15" s="48">
        <v>46281</v>
      </c>
      <c r="F15" s="49">
        <v>46294</v>
      </c>
      <c r="G15" s="26"/>
      <c r="H15" s="26">
        <f t="shared" si="4"/>
        <v>14</v>
      </c>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row>
    <row r="16" spans="1:64" s="28" customFormat="1" ht="21.75" customHeight="1" x14ac:dyDescent="0.3">
      <c r="A16" s="17"/>
      <c r="B16" s="45"/>
      <c r="C16" s="46"/>
      <c r="D16" s="47"/>
      <c r="E16" s="48"/>
      <c r="F16" s="49"/>
      <c r="G16" s="26"/>
      <c r="H16" s="26" t="str">
        <f t="shared" si="4"/>
        <v/>
      </c>
      <c r="I16" s="27"/>
      <c r="J16" s="27"/>
      <c r="K16" s="27"/>
      <c r="L16" s="27"/>
      <c r="M16" s="27"/>
      <c r="N16" s="27"/>
      <c r="O16" s="27"/>
      <c r="P16" s="27"/>
      <c r="Q16" s="27"/>
      <c r="R16" s="27"/>
      <c r="S16" s="27"/>
      <c r="T16" s="27"/>
      <c r="U16" s="39"/>
      <c r="V16" s="39"/>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row>
    <row r="17" spans="1:64" s="28" customFormat="1" ht="21.75" customHeight="1" x14ac:dyDescent="0.3">
      <c r="A17" s="17"/>
      <c r="B17" s="45"/>
      <c r="C17" s="46"/>
      <c r="D17" s="47"/>
      <c r="E17" s="48"/>
      <c r="F17" s="49"/>
      <c r="G17" s="26"/>
      <c r="H17" s="26" t="str">
        <f t="shared" si="4"/>
        <v/>
      </c>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row>
    <row r="18" spans="1:64" s="28" customFormat="1" ht="21.75" customHeight="1" x14ac:dyDescent="0.3">
      <c r="A18" s="17"/>
      <c r="B18" s="45"/>
      <c r="C18" s="46"/>
      <c r="D18" s="47"/>
      <c r="E18" s="48"/>
      <c r="F18" s="49"/>
      <c r="G18" s="26"/>
      <c r="H18" s="26" t="str">
        <f t="shared" si="4"/>
        <v/>
      </c>
      <c r="I18" s="27"/>
      <c r="J18" s="27"/>
      <c r="K18" s="27"/>
      <c r="L18" s="27"/>
      <c r="M18" s="27"/>
      <c r="N18" s="27"/>
      <c r="O18" s="27"/>
      <c r="P18" s="27"/>
      <c r="Q18" s="27"/>
      <c r="R18" s="27"/>
      <c r="S18" s="27"/>
      <c r="T18" s="27"/>
      <c r="U18" s="27"/>
      <c r="V18" s="27"/>
      <c r="W18" s="27"/>
      <c r="X18" s="27"/>
      <c r="Y18" s="39"/>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row>
    <row r="19" spans="1:64" s="28" customFormat="1" ht="21.75" customHeight="1" x14ac:dyDescent="0.3">
      <c r="A19" s="17"/>
      <c r="B19" s="45"/>
      <c r="C19" s="46"/>
      <c r="D19" s="47"/>
      <c r="E19" s="48"/>
      <c r="F19" s="49"/>
      <c r="G19" s="26"/>
      <c r="H19" s="26" t="str">
        <f t="shared" si="4"/>
        <v/>
      </c>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row>
    <row r="20" spans="1:64" s="28" customFormat="1" ht="21.75" customHeight="1" x14ac:dyDescent="0.3">
      <c r="A20" s="17"/>
      <c r="B20" s="50" t="s">
        <v>21</v>
      </c>
      <c r="C20" s="51"/>
      <c r="D20" s="52"/>
      <c r="E20" s="53"/>
      <c r="F20" s="54"/>
      <c r="G20" s="26"/>
      <c r="H20" s="26" t="str">
        <f t="shared" si="4"/>
        <v/>
      </c>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row>
    <row r="21" spans="1:64" s="28" customFormat="1" ht="21.75" customHeight="1" x14ac:dyDescent="0.3">
      <c r="A21" s="17"/>
      <c r="B21" s="55" t="s">
        <v>22</v>
      </c>
      <c r="C21" s="56" t="s">
        <v>16</v>
      </c>
      <c r="D21" s="57"/>
      <c r="E21" s="58">
        <v>46295</v>
      </c>
      <c r="F21" s="59">
        <v>46315</v>
      </c>
      <c r="G21" s="26"/>
      <c r="H21" s="26">
        <f t="shared" si="4"/>
        <v>21</v>
      </c>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row>
    <row r="22" spans="1:64" s="28" customFormat="1" ht="21.75" customHeight="1" x14ac:dyDescent="0.3">
      <c r="A22" s="17"/>
      <c r="B22" s="55"/>
      <c r="C22" s="56"/>
      <c r="D22" s="57"/>
      <c r="E22" s="58"/>
      <c r="F22" s="59"/>
      <c r="G22" s="26"/>
      <c r="H22" s="26" t="str">
        <f t="shared" si="4"/>
        <v/>
      </c>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row>
    <row r="23" spans="1:64" s="28" customFormat="1" ht="21.75" customHeight="1" x14ac:dyDescent="0.3">
      <c r="A23" s="17"/>
      <c r="B23" s="55"/>
      <c r="C23" s="56"/>
      <c r="D23" s="57"/>
      <c r="E23" s="58"/>
      <c r="F23" s="59"/>
      <c r="G23" s="26"/>
      <c r="H23" s="26" t="str">
        <f t="shared" si="4"/>
        <v/>
      </c>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row>
    <row r="24" spans="1:64" s="28" customFormat="1" ht="21.75" customHeight="1" x14ac:dyDescent="0.3">
      <c r="A24" s="17"/>
      <c r="B24" s="55"/>
      <c r="C24" s="56"/>
      <c r="D24" s="57"/>
      <c r="E24" s="58"/>
      <c r="F24" s="59"/>
      <c r="G24" s="26"/>
      <c r="H24" s="26" t="str">
        <f t="shared" si="4"/>
        <v/>
      </c>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row>
    <row r="25" spans="1:64" s="28" customFormat="1" ht="21.75" customHeight="1" x14ac:dyDescent="0.3">
      <c r="A25" s="17"/>
      <c r="B25" s="55"/>
      <c r="C25" s="56"/>
      <c r="D25" s="57"/>
      <c r="E25" s="58"/>
      <c r="F25" s="59"/>
      <c r="G25" s="26"/>
      <c r="H25" s="26" t="str">
        <f t="shared" si="4"/>
        <v/>
      </c>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row>
    <row r="26" spans="1:64" s="28" customFormat="1" ht="21.75" customHeight="1" x14ac:dyDescent="0.3">
      <c r="A26" s="17"/>
      <c r="B26" s="60" t="s">
        <v>23</v>
      </c>
      <c r="C26" s="61"/>
      <c r="D26" s="62"/>
      <c r="E26" s="63"/>
      <c r="F26" s="64"/>
      <c r="G26" s="26"/>
      <c r="H26" s="26" t="str">
        <f t="shared" si="4"/>
        <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row>
    <row r="27" spans="1:64" s="28" customFormat="1" ht="21.75" customHeight="1" x14ac:dyDescent="0.3">
      <c r="A27" s="17"/>
      <c r="B27" s="65" t="s">
        <v>24</v>
      </c>
      <c r="C27" s="66" t="s">
        <v>14</v>
      </c>
      <c r="D27" s="67"/>
      <c r="E27" s="68">
        <v>46316</v>
      </c>
      <c r="F27" s="69">
        <v>46329</v>
      </c>
      <c r="G27" s="26"/>
      <c r="H27" s="26">
        <f t="shared" si="4"/>
        <v>14</v>
      </c>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row>
    <row r="28" spans="1:64" s="28" customFormat="1" ht="21.75" customHeight="1" x14ac:dyDescent="0.3">
      <c r="A28" s="17"/>
      <c r="B28" s="65"/>
      <c r="C28" s="66"/>
      <c r="D28" s="67"/>
      <c r="E28" s="68"/>
      <c r="F28" s="69"/>
      <c r="G28" s="26"/>
      <c r="H28" s="26" t="str">
        <f t="shared" si="4"/>
        <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row>
    <row r="29" spans="1:64" s="28" customFormat="1" ht="21.75" customHeight="1" x14ac:dyDescent="0.3">
      <c r="A29" s="17"/>
      <c r="B29" s="65"/>
      <c r="C29" s="66"/>
      <c r="D29" s="67"/>
      <c r="E29" s="68"/>
      <c r="F29" s="69"/>
      <c r="G29" s="26"/>
      <c r="H29" s="26" t="str">
        <f t="shared" si="4"/>
        <v/>
      </c>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row>
    <row r="30" spans="1:64" s="28" customFormat="1" ht="21.75" customHeight="1" x14ac:dyDescent="0.3">
      <c r="A30" s="17"/>
      <c r="B30" s="65"/>
      <c r="C30" s="66"/>
      <c r="D30" s="67"/>
      <c r="E30" s="68"/>
      <c r="F30" s="69"/>
      <c r="G30" s="26"/>
      <c r="H30" s="26" t="str">
        <f t="shared" si="4"/>
        <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row>
    <row r="31" spans="1:64" s="28" customFormat="1" ht="21.75" customHeight="1" x14ac:dyDescent="0.3">
      <c r="A31" s="17"/>
      <c r="B31" s="65"/>
      <c r="C31" s="66"/>
      <c r="D31" s="67"/>
      <c r="E31" s="68"/>
      <c r="F31" s="69"/>
      <c r="G31" s="26"/>
      <c r="H31" s="26" t="str">
        <f t="shared" si="4"/>
        <v/>
      </c>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row>
    <row r="32" spans="1:64" s="28" customFormat="1" ht="21.75" customHeight="1" x14ac:dyDescent="0.3">
      <c r="A32" s="17"/>
      <c r="B32" s="70" t="s">
        <v>25</v>
      </c>
      <c r="C32" s="71"/>
      <c r="D32" s="72"/>
      <c r="E32" s="73"/>
      <c r="F32" s="74"/>
      <c r="G32" s="26"/>
      <c r="H32" s="26" t="str">
        <f t="shared" si="4"/>
        <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row>
    <row r="33" spans="1:64" s="28" customFormat="1" ht="21.75" customHeight="1" x14ac:dyDescent="0.3">
      <c r="A33" s="17"/>
      <c r="B33" s="75" t="s">
        <v>26</v>
      </c>
      <c r="C33" s="76" t="s">
        <v>16</v>
      </c>
      <c r="D33" s="77"/>
      <c r="E33" s="78">
        <v>46330</v>
      </c>
      <c r="F33" s="79">
        <v>46343</v>
      </c>
      <c r="G33" s="26"/>
      <c r="H33" s="26">
        <f t="shared" si="4"/>
        <v>14</v>
      </c>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row>
    <row r="34" spans="1:64" s="28" customFormat="1" ht="21.75" customHeight="1" x14ac:dyDescent="0.3">
      <c r="A34" s="17"/>
      <c r="B34" s="75" t="s">
        <v>27</v>
      </c>
      <c r="C34" s="76" t="s">
        <v>14</v>
      </c>
      <c r="D34" s="77"/>
      <c r="E34" s="78">
        <v>46344</v>
      </c>
      <c r="F34" s="79">
        <v>46350</v>
      </c>
      <c r="G34" s="26"/>
      <c r="H34" s="26">
        <f t="shared" si="4"/>
        <v>7</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row>
    <row r="35" spans="1:64" s="28" customFormat="1" ht="21.75" customHeight="1" x14ac:dyDescent="0.3">
      <c r="A35" s="17"/>
      <c r="B35" s="75"/>
      <c r="C35" s="76"/>
      <c r="D35" s="77"/>
      <c r="E35" s="78"/>
      <c r="F35" s="79"/>
      <c r="G35" s="26"/>
      <c r="H35" s="26" t="str">
        <f t="shared" si="4"/>
        <v/>
      </c>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row>
    <row r="36" spans="1:64" s="28" customFormat="1" ht="21.75" customHeight="1" x14ac:dyDescent="0.3">
      <c r="A36" s="17"/>
      <c r="B36" s="75"/>
      <c r="C36" s="76"/>
      <c r="D36" s="77"/>
      <c r="E36" s="78"/>
      <c r="F36" s="79"/>
      <c r="G36" s="26"/>
      <c r="H36" s="26" t="str">
        <f t="shared" si="4"/>
        <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row>
    <row r="37" spans="1:64" s="28" customFormat="1" ht="21.75" customHeight="1" x14ac:dyDescent="0.3">
      <c r="A37" s="17"/>
      <c r="B37" s="75"/>
      <c r="C37" s="76"/>
      <c r="D37" s="77"/>
      <c r="E37" s="78"/>
      <c r="F37" s="79"/>
      <c r="G37" s="26"/>
      <c r="H37" s="26" t="str">
        <f t="shared" si="4"/>
        <v/>
      </c>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row>
    <row r="38" spans="1:64" s="28" customFormat="1" ht="21.75" customHeight="1" x14ac:dyDescent="0.3">
      <c r="A38" s="17"/>
      <c r="B38" s="21"/>
      <c r="C38" s="22"/>
      <c r="D38" s="23"/>
      <c r="E38" s="24"/>
      <c r="F38" s="25"/>
      <c r="G38" s="26"/>
      <c r="H38" s="26" t="str">
        <f t="shared" si="4"/>
        <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row>
    <row r="39" spans="1:64" s="28" customFormat="1" ht="21.75" customHeight="1" x14ac:dyDescent="0.3">
      <c r="A39" s="17"/>
      <c r="B39" s="21"/>
      <c r="C39" s="22"/>
      <c r="D39" s="23"/>
      <c r="E39" s="24"/>
      <c r="F39" s="25"/>
      <c r="G39" s="26"/>
      <c r="H39" s="26" t="str">
        <f t="shared" si="4"/>
        <v/>
      </c>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row>
    <row r="40" spans="1:64" s="28" customFormat="1" ht="21.75" customHeight="1" x14ac:dyDescent="0.3">
      <c r="A40" s="17"/>
      <c r="B40" s="21"/>
      <c r="C40" s="22"/>
      <c r="D40" s="23"/>
      <c r="E40" s="24"/>
      <c r="F40" s="25"/>
      <c r="G40" s="26"/>
      <c r="H40" s="26" t="str">
        <f t="shared" si="4"/>
        <v/>
      </c>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row>
    <row r="41" spans="1:64" s="28" customFormat="1" ht="21.75" customHeight="1" x14ac:dyDescent="0.3">
      <c r="A41" s="17"/>
      <c r="B41" s="80" t="s">
        <v>28</v>
      </c>
      <c r="C41" s="81"/>
      <c r="D41" s="82"/>
      <c r="E41" s="83"/>
      <c r="F41" s="84"/>
      <c r="G41" s="85"/>
      <c r="H41" s="85" t="str">
        <f t="shared" si="4"/>
        <v/>
      </c>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row>
    <row r="42" spans="1:64" ht="15" customHeight="1" x14ac:dyDescent="0.3">
      <c r="A42" s="12"/>
      <c r="G42" s="12"/>
    </row>
    <row r="43" spans="1:64" ht="15" customHeight="1" x14ac:dyDescent="0.3">
      <c r="B43" s="87" t="s">
        <v>29</v>
      </c>
      <c r="C43" s="87"/>
      <c r="F43" s="88">
        <v>43113</v>
      </c>
    </row>
    <row r="44" spans="1:64" ht="15" customHeight="1" x14ac:dyDescent="0.3">
      <c r="B44" s="89" t="s">
        <v>30</v>
      </c>
      <c r="C44" s="90"/>
    </row>
    <row r="45" spans="1:64" ht="15" customHeight="1" x14ac:dyDescent="0.3">
      <c r="B45" s="89" t="s">
        <v>31</v>
      </c>
    </row>
  </sheetData>
  <mergeCells count="11">
    <mergeCell ref="AD4:AJ4"/>
    <mergeCell ref="AK4:AQ4"/>
    <mergeCell ref="AR4:AX4"/>
    <mergeCell ref="AY4:BE4"/>
    <mergeCell ref="BF4:BL4"/>
    <mergeCell ref="J1:AA1"/>
    <mergeCell ref="E2:F2"/>
    <mergeCell ref="E3:F3"/>
    <mergeCell ref="I4:O4"/>
    <mergeCell ref="P4:V4"/>
    <mergeCell ref="W4:AC4"/>
  </mergeCells>
  <conditionalFormatting sqref="D7:D41">
    <cfRule type="dataBar" priority="2">
      <dataBar>
        <cfvo type="num" val="0"/>
        <cfvo type="num" val="1"/>
        <color rgb="FFBFBFBF"/>
      </dataBar>
      <extLst>
        <ext xmlns:x14="http://schemas.microsoft.com/office/spreadsheetml/2009/9/main" uri="{B025F937-C7B1-47D3-B67F-A62EFF666E3E}">
          <x14:id>{B0B57CDD-3B6E-4F68-A3A2-2B2ED9BF7597}</x14:id>
        </ext>
      </extLst>
    </cfRule>
  </conditionalFormatting>
  <conditionalFormatting sqref="I5:BL41">
    <cfRule type="expression" dxfId="2" priority="5">
      <formula>AND(today&gt;=I$5,today&lt;I$5+1)</formula>
    </cfRule>
  </conditionalFormatting>
  <conditionalFormatting sqref="I7:BL41">
    <cfRule type="expression" dxfId="1" priority="3">
      <formula>AND(task_start&lt;=I$5,ROUNDDOWN((task_end-task_start+1)*task_progress,0)+task_start-1&gt;=I$5)</formula>
    </cfRule>
    <cfRule type="expression" dxfId="0" priority="4">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formula2>0</formula2>
    </dataValidation>
  </dataValidations>
  <hyperlinks>
    <hyperlink ref="B43" r:id="rId1" xr:uid="{00000000-0004-0000-0000-000000000000}"/>
    <hyperlink ref="B44" r:id="rId2" xr:uid="{00000000-0004-0000-0000-000001000000}"/>
  </hyperlinks>
  <pageMargins left="0.35" right="0.35" top="0.35" bottom="0.5" header="0.511811023622047" footer="0.511811023622047"/>
  <pageSetup fitToHeight="0" orientation="landscape" horizontalDpi="300" verticalDpi="300"/>
  <legacyDrawing r:id="rId3"/>
  <extLst>
    <ext xmlns:x14="http://schemas.microsoft.com/office/spreadsheetml/2009/9/main" uri="{78C0D931-6437-407d-A8EE-F0AAD7539E65}">
      <x14:conditionalFormattings>
        <x14:conditionalFormatting xmlns:xm="http://schemas.microsoft.com/office/excel/2006/main">
          <x14:cfRule type="dataBar" id="{B0B57CDD-3B6E-4F68-A3A2-2B2ED9BF7597}">
            <x14:dataBar axisPosition="none">
              <x14:cfvo type="num">
                <xm:f>0</xm:f>
              </x14:cfvo>
              <x14:cfvo type="num">
                <xm:f>1</xm:f>
              </x14:cfvo>
              <x14:negativeFillColor rgb="FFBFBFBF"/>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7" customWidth="1"/>
    <col min="2" max="2" width="87.109375" style="91" customWidth="1"/>
    <col min="3" max="16384" width="9.109375" style="7"/>
  </cols>
  <sheetData>
    <row r="1" spans="2:3" ht="46.5" customHeight="1" x14ac:dyDescent="0.3"/>
    <row r="2" spans="2:3" s="92" customFormat="1" ht="15.75" customHeight="1" x14ac:dyDescent="0.3">
      <c r="B2" s="93" t="s">
        <v>29</v>
      </c>
      <c r="C2" s="93"/>
    </row>
    <row r="3" spans="2:3" s="94" customFormat="1" ht="13.5" customHeight="1" x14ac:dyDescent="0.3">
      <c r="B3" s="95" t="s">
        <v>30</v>
      </c>
      <c r="C3" s="95"/>
    </row>
    <row r="4" spans="2:3" ht="12.75" customHeight="1" x14ac:dyDescent="0.3">
      <c r="B4" s="96" t="s">
        <v>31</v>
      </c>
    </row>
    <row r="6" spans="2:3" s="97" customFormat="1" ht="26.25" customHeight="1" x14ac:dyDescent="0.5">
      <c r="B6" s="98" t="s">
        <v>32</v>
      </c>
    </row>
    <row r="7" spans="2:3" ht="60" customHeight="1" x14ac:dyDescent="0.3">
      <c r="B7" s="99" t="s">
        <v>33</v>
      </c>
    </row>
    <row r="8" spans="2:3" ht="15" customHeight="1" x14ac:dyDescent="0.3">
      <c r="B8" s="100"/>
    </row>
    <row r="9" spans="2:3" s="97" customFormat="1" ht="26.25" customHeight="1" x14ac:dyDescent="0.5">
      <c r="B9" s="98" t="s">
        <v>34</v>
      </c>
    </row>
    <row r="10" spans="2:3" ht="60" customHeight="1" x14ac:dyDescent="0.3">
      <c r="B10" s="99" t="s">
        <v>35</v>
      </c>
    </row>
    <row r="11" spans="2:3" ht="14.25" customHeight="1" x14ac:dyDescent="0.3">
      <c r="B11" s="101" t="s">
        <v>36</v>
      </c>
    </row>
    <row r="12" spans="2:3" ht="15" customHeight="1" x14ac:dyDescent="0.3">
      <c r="B12" s="100"/>
    </row>
    <row r="13" spans="2:3" ht="14.25" customHeight="1" x14ac:dyDescent="0.3">
      <c r="B13" s="101" t="str">
        <f>HYPERLINK("https://vertex42.link/HowToMakeAGanttChart","► Watch How This Gantt Chart Was Created")</f>
        <v>► Watch How This Gantt Chart Was Created</v>
      </c>
    </row>
    <row r="14" spans="2:3" ht="15" customHeight="1" x14ac:dyDescent="0.3">
      <c r="B14" s="100"/>
    </row>
    <row r="15" spans="2:3" s="97" customFormat="1" ht="26.25" customHeight="1" x14ac:dyDescent="0.5">
      <c r="B15" s="98" t="s">
        <v>37</v>
      </c>
    </row>
    <row r="16" spans="2:3" ht="30" customHeight="1" x14ac:dyDescent="0.3">
      <c r="B16" s="99" t="s">
        <v>38</v>
      </c>
    </row>
    <row r="17" spans="2:2" ht="14.25" customHeight="1" x14ac:dyDescent="0.3">
      <c r="B17" s="101" t="s">
        <v>39</v>
      </c>
    </row>
    <row r="18" spans="2:2" ht="15" customHeight="1" x14ac:dyDescent="0.3">
      <c r="B18" s="100"/>
    </row>
    <row r="19" spans="2:2" s="97" customFormat="1" ht="26.25" customHeight="1" x14ac:dyDescent="0.5">
      <c r="B19" s="98" t="s">
        <v>40</v>
      </c>
    </row>
    <row r="20" spans="2:2" ht="60" customHeight="1" x14ac:dyDescent="0.3">
      <c r="B20" s="99" t="s">
        <v>41</v>
      </c>
    </row>
    <row r="21" spans="2:2" ht="15" customHeight="1" x14ac:dyDescent="0.3">
      <c r="B21" s="100"/>
    </row>
    <row r="22" spans="2:2" ht="75" customHeight="1" x14ac:dyDescent="0.3">
      <c r="B22" s="99" t="s">
        <v>42</v>
      </c>
    </row>
  </sheetData>
  <hyperlinks>
    <hyperlink ref="B2" r:id="rId1" xr:uid="{00000000-0004-0000-0100-000000000000}"/>
    <hyperlink ref="B3" r:id="rId2" xr:uid="{00000000-0004-0000-0100-000001000000}"/>
    <hyperlink ref="B11" r:id="rId3" xr:uid="{00000000-0004-0000-0100-000002000000}"/>
    <hyperlink ref="B17" r:id="rId4" xr:uid="{00000000-0004-0000-0100-000003000000}"/>
  </hyperlinks>
  <pageMargins left="0.5" right="0.5" top="0.5" bottom="0.5" header="0.511811023622047" footer="0.511811023622047"/>
  <pageSetup orientation="portrait" horizontalDpi="300" verticalDpi="300"/>
  <drawing r:id="rId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ProjectSchedule</vt:lpstr>
      <vt:lpstr>About</vt:lpstr>
      <vt:lpstr>ProjectSchedule!Print_Titles</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dc:description>© 2018-2019 Vertex42 LLC. All Rights Reserved.</dc:description>
  <cp:lastModifiedBy>Arnav Kathuria</cp:lastModifiedBy>
  <cp:revision>0</cp:revision>
  <cp:lastPrinted>2019-04-24T14:39:40Z</cp:lastPrinted>
  <dcterms:created xsi:type="dcterms:W3CDTF">2017-01-09T18:01:51Z</dcterms:created>
  <dcterms:modified xsi:type="dcterms:W3CDTF">2026-09-14T18:57:35Z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 2019 Vertex42 LLC</vt:lpwstr>
  </property>
  <property fmtid="{D5CDD505-2E9C-101B-9397-08002B2CF9AE}" pid="3" name="Source">
    <vt:lpwstr>https://www.vertex42.com/</vt:lpwstr>
  </property>
  <property fmtid="{D5CDD505-2E9C-101B-9397-08002B2CF9AE}" pid="4" name="Version">
    <vt:lpwstr>1.0.1</vt:lpwstr>
  </property>
</Properties>
</file>